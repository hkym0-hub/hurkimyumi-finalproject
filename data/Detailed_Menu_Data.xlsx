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 대시보드" sheetId="1" state="visible" r:id="rId1"/>
    <sheet xmlns:r="http://schemas.openxmlformats.org/officeDocument/2006/relationships" name="전체 메뉴 상세 데이터" sheetId="2" state="visible" r:id="rId2"/>
  </sheets>
  <definedNames>
    <definedName name="_xlnm._FilterDatabase" localSheetId="1" hidden="1">'전체 메뉴 상세 데이터'!$A$4:$D$91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개&quot;"/>
    <numFmt numFmtId="165" formatCode="#,##0&quot; kcal&quot;"/>
  </numFmts>
  <fonts count="7">
    <font>
      <name val="Calibri"/>
      <family val="2"/>
      <color theme="1"/>
      <sz val="11"/>
      <scheme val="minor"/>
    </font>
    <font>
      <name val="Malgun Gothic"/>
      <b val="1"/>
      <color rgb="001F4E5B"/>
      <sz val="16"/>
    </font>
    <font>
      <name val="Malgun Gothic"/>
      <color rgb="00555555"/>
      <sz val="9"/>
    </font>
    <font>
      <name val="Malgun Gothic"/>
      <b val="1"/>
      <color rgb="002E5B66"/>
      <sz val="12"/>
    </font>
    <font>
      <name val="Malgun Gothic"/>
      <b val="1"/>
      <color rgb="00FFFFFF"/>
      <sz val="11"/>
    </font>
    <font>
      <name val="Malgun Gothic"/>
      <sz val="11"/>
    </font>
    <font>
      <name val="Malgun Gothic"/>
      <b val="1"/>
      <sz val="11"/>
    </font>
  </fonts>
  <fills count="6">
    <fill>
      <patternFill/>
    </fill>
    <fill>
      <patternFill patternType="gray125"/>
    </fill>
    <fill>
      <patternFill patternType="solid">
        <fgColor rgb="00E8F1F2"/>
        <bgColor rgb="00E8F1F2"/>
      </patternFill>
    </fill>
    <fill>
      <patternFill patternType="solid">
        <fgColor rgb="001F4E5B"/>
        <bgColor rgb="001F4E5B"/>
      </patternFill>
    </fill>
    <fill>
      <patternFill patternType="solid">
        <fgColor rgb="00F7FAFA"/>
        <bgColor rgb="00F7FAFA"/>
      </patternFill>
    </fill>
    <fill>
      <patternFill patternType="solid">
        <fgColor rgb="00EAF2F4"/>
        <bgColor rgb="00EAF2F4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F4E5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1" fillId="2" borderId="1" applyAlignment="1" pivotButton="0" quotePrefix="0" xfId="0">
      <alignment horizontal="center" vertical="center"/>
    </xf>
    <xf numFmtId="165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3" fontId="6" fillId="5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5" borderId="2" pivotButton="0" quotePrefix="0" xfId="0"/>
  </cellXfs>
  <cellStyles count="1">
    <cellStyle name="Normal" xfId="0" builtinId="0" hidden="0"/>
  </cellStyles>
  <dxfs count="1">
    <dxf>
      <font>
        <name val="Malgun Gothic"/>
        <b val="1"/>
        <color rgb="009C0006"/>
        <sz val="11"/>
      </font>
      <fill>
        <patternFill patternType="solid">
          <fgColor rgb="00FFEBEB"/>
          <bgColor rgb="00FFEB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평균 칼로리 (kcal)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'요약 대시보드'!D8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'요약 대시보드'!$B$9:$B$19</f>
            </numRef>
          </cat>
          <val>
            <numRef>
              <f>'요약 대시보드'!$D$9:$D$19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칼로리 (kcal)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6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22" customWidth="1" min="4" max="4"/>
    <col width="3" customWidth="1" min="5" max="5"/>
  </cols>
  <sheetData>
    <row r="2" ht="30" customHeight="1">
      <c r="B2" s="1" t="inlineStr">
        <is>
          <t>🍽️ 메뉴별 칼로리 영양성분 요약 대시보드</t>
        </is>
      </c>
    </row>
    <row r="4" ht="18" customHeight="1">
      <c r="B4" s="2" t="inlineStr">
        <is>
          <t>총 메뉴 수</t>
        </is>
      </c>
      <c r="C4" s="3" t="n"/>
      <c r="D4" s="2" t="inlineStr">
        <is>
          <t>평균 칼로리</t>
        </is>
      </c>
      <c r="E4" s="3" t="n"/>
      <c r="F4" s="2" t="inlineStr">
        <is>
          <t>최고 칼로리</t>
        </is>
      </c>
      <c r="G4" s="3" t="n"/>
      <c r="H4" s="2" t="inlineStr">
        <is>
          <t>최저 칼로리</t>
        </is>
      </c>
      <c r="I4" s="3" t="n"/>
    </row>
    <row r="5" ht="28" customHeight="1">
      <c r="B5" s="4">
        <f>COUNTA('전체 메뉴 상세 데이터'!C5:C91)</f>
        <v/>
      </c>
      <c r="C5" s="3" t="n"/>
      <c r="D5" s="5">
        <f>AVERAGE('전체 메뉴 상세 데이터'!D5:D91)</f>
        <v/>
      </c>
      <c r="E5" s="3" t="n"/>
      <c r="F5" s="5">
        <f>MAX('전체 메뉴 상세 데이터'!D5:D91)</f>
        <v/>
      </c>
      <c r="G5" s="3" t="n"/>
      <c r="H5" s="5">
        <f>MIN('전체 메뉴 상세 데이터'!D5:D91)</f>
        <v/>
      </c>
      <c r="I5" s="3" t="n"/>
    </row>
    <row r="7">
      <c r="B7" s="6" t="inlineStr">
        <is>
          <t>📊 카테고리별 요약 통계</t>
        </is>
      </c>
    </row>
    <row r="8" ht="24" customHeight="1">
      <c r="B8" s="7" t="inlineStr">
        <is>
          <t>카테고리</t>
        </is>
      </c>
      <c r="C8" s="7" t="inlineStr">
        <is>
          <t>메뉴 개수</t>
        </is>
      </c>
      <c r="D8" s="7" t="inlineStr">
        <is>
          <t>평균 칼로리 (kcal)</t>
        </is>
      </c>
    </row>
    <row r="9" ht="20" customHeight="1">
      <c r="B9" s="8" t="inlineStr">
        <is>
          <t>김밥류</t>
        </is>
      </c>
      <c r="C9" s="9">
        <f>COUNTIF('전체 메뉴 상세 데이터'!$B$5:$B$91, B9)</f>
        <v/>
      </c>
      <c r="D9" s="9">
        <f>AVERAGEIF('전체 메뉴 상세 데이터'!$B$5:$B$91, B9, '전체 메뉴 상세 데이터'!$D$5:$D$91)</f>
        <v/>
      </c>
    </row>
    <row r="10" ht="20" customHeight="1">
      <c r="B10" s="10" t="inlineStr">
        <is>
          <t>분식류</t>
        </is>
      </c>
      <c r="C10" s="11">
        <f>COUNTIF('전체 메뉴 상세 데이터'!$B$5:$B$91, B10)</f>
        <v/>
      </c>
      <c r="D10" s="11">
        <f>AVERAGEIF('전체 메뉴 상세 데이터'!$B$5:$B$91, B10, '전체 메뉴 상세 데이터'!$D$5:$D$91)</f>
        <v/>
      </c>
    </row>
    <row r="11" ht="20" customHeight="1">
      <c r="B11" s="8" t="inlineStr">
        <is>
          <t>한식/식사</t>
        </is>
      </c>
      <c r="C11" s="9">
        <f>COUNTIF('전체 메뉴 상세 데이터'!$B$5:$B$91, B11)</f>
        <v/>
      </c>
      <c r="D11" s="9">
        <f>AVERAGEIF('전체 메뉴 상세 데이터'!$B$5:$B$91, B11, '전체 메뉴 상세 데이터'!$D$5:$D$91)</f>
        <v/>
      </c>
    </row>
    <row r="12" ht="20" customHeight="1">
      <c r="B12" s="10" t="inlineStr">
        <is>
          <t>중식류</t>
        </is>
      </c>
      <c r="C12" s="11">
        <f>COUNTIF('전체 메뉴 상세 데이터'!$B$5:$B$91, B12)</f>
        <v/>
      </c>
      <c r="D12" s="11">
        <f>AVERAGEIF('전체 메뉴 상세 데이터'!$B$5:$B$91, B12, '전체 메뉴 상세 데이터'!$D$5:$D$91)</f>
        <v/>
      </c>
    </row>
    <row r="13" ht="20" customHeight="1">
      <c r="B13" s="8" t="inlineStr">
        <is>
          <t>아시안/면류</t>
        </is>
      </c>
      <c r="C13" s="9">
        <f>COUNTIF('전체 메뉴 상세 데이터'!$B$5:$B$91, B13)</f>
        <v/>
      </c>
      <c r="D13" s="9">
        <f>AVERAGEIF('전체 메뉴 상세 데이터'!$B$5:$B$91, B13, '전체 메뉴 상세 데이터'!$D$5:$D$91)</f>
        <v/>
      </c>
    </row>
    <row r="14" ht="20" customHeight="1">
      <c r="B14" s="10" t="inlineStr">
        <is>
          <t>일식/튀김</t>
        </is>
      </c>
      <c r="C14" s="11">
        <f>COUNTIF('전체 메뉴 상세 데이터'!$B$5:$B$91, B14)</f>
        <v/>
      </c>
      <c r="D14" s="11">
        <f>AVERAGEIF('전체 메뉴 상세 데이터'!$B$5:$B$91, B14, '전체 메뉴 상세 데이터'!$D$5:$D$91)</f>
        <v/>
      </c>
    </row>
    <row r="15" ht="20" customHeight="1">
      <c r="B15" s="8" t="inlineStr">
        <is>
          <t>초밥/일식</t>
        </is>
      </c>
      <c r="C15" s="9">
        <f>COUNTIF('전체 메뉴 상세 데이터'!$B$5:$B$91, B15)</f>
        <v/>
      </c>
      <c r="D15" s="9">
        <f>AVERAGEIF('전체 메뉴 상세 데이터'!$B$5:$B$91, B15, '전체 메뉴 상세 데이터'!$D$5:$D$91)</f>
        <v/>
      </c>
    </row>
    <row r="16" ht="20" customHeight="1">
      <c r="B16" s="10" t="inlineStr">
        <is>
          <t>치킨류</t>
        </is>
      </c>
      <c r="C16" s="11">
        <f>COUNTIF('전체 메뉴 상세 데이터'!$B$5:$B$91, B16)</f>
        <v/>
      </c>
      <c r="D16" s="11">
        <f>AVERAGEIF('전체 메뉴 상세 데이터'!$B$5:$B$91, B16, '전체 메뉴 상세 데이터'!$D$5:$D$91)</f>
        <v/>
      </c>
    </row>
    <row r="17" ht="20" customHeight="1">
      <c r="B17" s="8" t="inlineStr">
        <is>
          <t>피자류</t>
        </is>
      </c>
      <c r="C17" s="9">
        <f>COUNTIF('전체 메뉴 상세 데이터'!$B$5:$B$91, B17)</f>
        <v/>
      </c>
      <c r="D17" s="9">
        <f>AVERAGEIF('전체 메뉴 상세 데이터'!$B$5:$B$91, B17, '전체 메뉴 상세 데이터'!$D$5:$D$91)</f>
        <v/>
      </c>
    </row>
    <row r="18" ht="20" customHeight="1">
      <c r="B18" s="10" t="inlineStr">
        <is>
          <t>양식/파스타</t>
        </is>
      </c>
      <c r="C18" s="11">
        <f>COUNTIF('전체 메뉴 상세 데이터'!$B$5:$B$91, B18)</f>
        <v/>
      </c>
      <c r="D18" s="11">
        <f>AVERAGEIF('전체 메뉴 상세 데이터'!$B$5:$B$91, B18, '전체 메뉴 상세 데이터'!$D$5:$D$91)</f>
        <v/>
      </c>
    </row>
    <row r="19" ht="20" customHeight="1">
      <c r="B19" s="8" t="inlineStr">
        <is>
          <t>샐러드/샌드위치</t>
        </is>
      </c>
      <c r="C19" s="9">
        <f>COUNTIF('전체 메뉴 상세 데이터'!$B$5:$B$91, B19)</f>
        <v/>
      </c>
      <c r="D19" s="9">
        <f>AVERAGEIF('전체 메뉴 상세 데이터'!$B$5:$B$91, B19, '전체 메뉴 상세 데이터'!$D$5:$D$91)</f>
        <v/>
      </c>
    </row>
    <row r="20" ht="22" customHeight="1">
      <c r="B20" s="12" t="inlineStr">
        <is>
          <t>전체 총합 / 평균</t>
        </is>
      </c>
      <c r="C20" s="13">
        <f>SUM(C9:C19)</f>
        <v/>
      </c>
      <c r="D20" s="13">
        <f>AVERAGE('전체 메뉴 상세 데이터'!D5:D91)</f>
        <v/>
      </c>
    </row>
  </sheetData>
  <mergeCells count="8">
    <mergeCell ref="F4:G4"/>
    <mergeCell ref="B5:C5"/>
    <mergeCell ref="F5:G5"/>
    <mergeCell ref="D5:E5"/>
    <mergeCell ref="H5:I5"/>
    <mergeCell ref="D4:E4"/>
    <mergeCell ref="H4:I4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9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5" customWidth="1" min="3" max="3"/>
    <col width="16" customWidth="1" min="4" max="4"/>
  </cols>
  <sheetData>
    <row r="2" ht="30" customHeight="1">
      <c r="A2" s="1" t="inlineStr">
        <is>
          <t>📑 전체 식품 메뉴별 영양성분 (칼로리) 상세 리스트</t>
        </is>
      </c>
    </row>
    <row r="4" ht="24" customHeight="1">
      <c r="A4" s="7" t="inlineStr">
        <is>
          <t>번호</t>
        </is>
      </c>
      <c r="B4" s="7" t="inlineStr">
        <is>
          <t>카테고리</t>
        </is>
      </c>
      <c r="C4" s="7" t="inlineStr">
        <is>
          <t>메뉴명</t>
        </is>
      </c>
      <c r="D4" s="7" t="inlineStr">
        <is>
          <t>칼로리 (kcal)</t>
        </is>
      </c>
    </row>
    <row r="5" ht="19" customHeight="1">
      <c r="A5" s="8" t="n">
        <v>1</v>
      </c>
      <c r="B5" s="8" t="inlineStr">
        <is>
          <t>김밥류</t>
        </is>
      </c>
      <c r="C5" s="14" t="inlineStr">
        <is>
          <t>참치김밥</t>
        </is>
      </c>
      <c r="D5" s="9" t="n">
        <v>450</v>
      </c>
    </row>
    <row r="6" ht="19" customHeight="1">
      <c r="A6" s="10" t="n">
        <v>2</v>
      </c>
      <c r="B6" s="10" t="inlineStr">
        <is>
          <t>김밥류</t>
        </is>
      </c>
      <c r="C6" s="15" t="inlineStr">
        <is>
          <t>치즈김밥</t>
        </is>
      </c>
      <c r="D6" s="11" t="n">
        <v>400</v>
      </c>
    </row>
    <row r="7" ht="19" customHeight="1">
      <c r="A7" s="8" t="n">
        <v>3</v>
      </c>
      <c r="B7" s="8" t="inlineStr">
        <is>
          <t>김밥류</t>
        </is>
      </c>
      <c r="C7" s="14" t="inlineStr">
        <is>
          <t>소고기김밥</t>
        </is>
      </c>
      <c r="D7" s="9" t="n">
        <v>480</v>
      </c>
    </row>
    <row r="8" ht="19" customHeight="1">
      <c r="A8" s="10" t="n">
        <v>4</v>
      </c>
      <c r="B8" s="10" t="inlineStr">
        <is>
          <t>김밥류</t>
        </is>
      </c>
      <c r="C8" s="15" t="inlineStr">
        <is>
          <t>돈까스김밥</t>
        </is>
      </c>
      <c r="D8" s="11" t="n">
        <v>520</v>
      </c>
    </row>
    <row r="9" ht="19" customHeight="1">
      <c r="A9" s="8" t="n">
        <v>5</v>
      </c>
      <c r="B9" s="8" t="inlineStr">
        <is>
          <t>김밥류</t>
        </is>
      </c>
      <c r="C9" s="14" t="inlineStr">
        <is>
          <t>제육김밥</t>
        </is>
      </c>
      <c r="D9" s="9" t="n">
        <v>500</v>
      </c>
    </row>
    <row r="10" ht="19" customHeight="1">
      <c r="A10" s="10" t="n">
        <v>6</v>
      </c>
      <c r="B10" s="10" t="inlineStr">
        <is>
          <t>김밥류</t>
        </is>
      </c>
      <c r="C10" s="15" t="inlineStr">
        <is>
          <t>샐러드김밥</t>
        </is>
      </c>
      <c r="D10" s="11" t="n">
        <v>350</v>
      </c>
    </row>
    <row r="11" ht="19" customHeight="1">
      <c r="A11" s="8" t="n">
        <v>7</v>
      </c>
      <c r="B11" s="8" t="inlineStr">
        <is>
          <t>김밥류</t>
        </is>
      </c>
      <c r="C11" s="14" t="inlineStr">
        <is>
          <t>충무김밥</t>
        </is>
      </c>
      <c r="D11" s="9" t="n">
        <v>300</v>
      </c>
    </row>
    <row r="12" ht="19" customHeight="1">
      <c r="A12" s="10" t="n">
        <v>8</v>
      </c>
      <c r="B12" s="10" t="inlineStr">
        <is>
          <t>치킨류</t>
        </is>
      </c>
      <c r="C12" s="15" t="inlineStr">
        <is>
          <t>후라이드치킨</t>
        </is>
      </c>
      <c r="D12" s="11" t="n">
        <v>1500</v>
      </c>
    </row>
    <row r="13" ht="19" customHeight="1">
      <c r="A13" s="8" t="n">
        <v>9</v>
      </c>
      <c r="B13" s="8" t="inlineStr">
        <is>
          <t>치킨류</t>
        </is>
      </c>
      <c r="C13" s="14" t="inlineStr">
        <is>
          <t>양념치킨</t>
        </is>
      </c>
      <c r="D13" s="9" t="n">
        <v>1700</v>
      </c>
    </row>
    <row r="14" ht="19" customHeight="1">
      <c r="A14" s="10" t="n">
        <v>10</v>
      </c>
      <c r="B14" s="10" t="inlineStr">
        <is>
          <t>치킨류</t>
        </is>
      </c>
      <c r="C14" s="15" t="inlineStr">
        <is>
          <t>간장치킨</t>
        </is>
      </c>
      <c r="D14" s="11" t="n">
        <v>1600</v>
      </c>
    </row>
    <row r="15" ht="19" customHeight="1">
      <c r="A15" s="8" t="n">
        <v>11</v>
      </c>
      <c r="B15" s="8" t="inlineStr">
        <is>
          <t>치킨류</t>
        </is>
      </c>
      <c r="C15" s="14" t="inlineStr">
        <is>
          <t>마늘치킨</t>
        </is>
      </c>
      <c r="D15" s="9" t="n">
        <v>1650</v>
      </c>
    </row>
    <row r="16" ht="19" customHeight="1">
      <c r="A16" s="10" t="n">
        <v>12</v>
      </c>
      <c r="B16" s="10" t="inlineStr">
        <is>
          <t>치킨류</t>
        </is>
      </c>
      <c r="C16" s="15" t="inlineStr">
        <is>
          <t>파닭</t>
        </is>
      </c>
      <c r="D16" s="11" t="n">
        <v>1750</v>
      </c>
    </row>
    <row r="17" ht="19" customHeight="1">
      <c r="A17" s="8" t="n">
        <v>13</v>
      </c>
      <c r="B17" s="8" t="inlineStr">
        <is>
          <t>치킨류</t>
        </is>
      </c>
      <c r="C17" s="14" t="inlineStr">
        <is>
          <t>순살치킨</t>
        </is>
      </c>
      <c r="D17" s="9" t="n">
        <v>1400</v>
      </c>
    </row>
    <row r="18" ht="19" customHeight="1">
      <c r="A18" s="10" t="n">
        <v>14</v>
      </c>
      <c r="B18" s="10" t="inlineStr">
        <is>
          <t>치킨류</t>
        </is>
      </c>
      <c r="C18" s="15" t="inlineStr">
        <is>
          <t>뿌링클치킨</t>
        </is>
      </c>
      <c r="D18" s="11" t="n">
        <v>1800</v>
      </c>
    </row>
    <row r="19" ht="19" customHeight="1">
      <c r="A19" s="8" t="n">
        <v>15</v>
      </c>
      <c r="B19" s="8" t="inlineStr">
        <is>
          <t>치킨류</t>
        </is>
      </c>
      <c r="C19" s="14" t="inlineStr">
        <is>
          <t>오븐구이치킨</t>
        </is>
      </c>
      <c r="D19" s="9" t="n">
        <v>1000</v>
      </c>
    </row>
    <row r="20" ht="19" customHeight="1">
      <c r="A20" s="10" t="n">
        <v>16</v>
      </c>
      <c r="B20" s="10" t="inlineStr">
        <is>
          <t>피자류</t>
        </is>
      </c>
      <c r="C20" s="15" t="inlineStr">
        <is>
          <t>페퍼로니피자</t>
        </is>
      </c>
      <c r="D20" s="11" t="n">
        <v>1200</v>
      </c>
    </row>
    <row r="21" ht="19" customHeight="1">
      <c r="A21" s="8" t="n">
        <v>17</v>
      </c>
      <c r="B21" s="8" t="inlineStr">
        <is>
          <t>피자류</t>
        </is>
      </c>
      <c r="C21" s="14" t="inlineStr">
        <is>
          <t>치즈피자</t>
        </is>
      </c>
      <c r="D21" s="9" t="n">
        <v>1100</v>
      </c>
    </row>
    <row r="22" ht="19" customHeight="1">
      <c r="A22" s="10" t="n">
        <v>18</v>
      </c>
      <c r="B22" s="10" t="inlineStr">
        <is>
          <t>피자류</t>
        </is>
      </c>
      <c r="C22" s="15" t="inlineStr">
        <is>
          <t>불고기피자</t>
        </is>
      </c>
      <c r="D22" s="11" t="n">
        <v>1300</v>
      </c>
    </row>
    <row r="23" ht="19" customHeight="1">
      <c r="A23" s="8" t="n">
        <v>19</v>
      </c>
      <c r="B23" s="8" t="inlineStr">
        <is>
          <t>피자류</t>
        </is>
      </c>
      <c r="C23" s="14" t="inlineStr">
        <is>
          <t>포테이토피자</t>
        </is>
      </c>
      <c r="D23" s="9" t="n">
        <v>1250</v>
      </c>
    </row>
    <row r="24" ht="19" customHeight="1">
      <c r="A24" s="10" t="n">
        <v>20</v>
      </c>
      <c r="B24" s="10" t="inlineStr">
        <is>
          <t>피자류</t>
        </is>
      </c>
      <c r="C24" s="15" t="inlineStr">
        <is>
          <t>고구마피자</t>
        </is>
      </c>
      <c r="D24" s="11" t="n">
        <v>1350</v>
      </c>
    </row>
    <row r="25" ht="19" customHeight="1">
      <c r="A25" s="8" t="n">
        <v>21</v>
      </c>
      <c r="B25" s="8" t="inlineStr">
        <is>
          <t>피자류</t>
        </is>
      </c>
      <c r="C25" s="14" t="inlineStr">
        <is>
          <t>하와이안피자</t>
        </is>
      </c>
      <c r="D25" s="9" t="n">
        <v>1150</v>
      </c>
    </row>
    <row r="26" ht="19" customHeight="1">
      <c r="A26" s="10" t="n">
        <v>22</v>
      </c>
      <c r="B26" s="10" t="inlineStr">
        <is>
          <t>피자류</t>
        </is>
      </c>
      <c r="C26" s="15" t="inlineStr">
        <is>
          <t>콤비네이션피자</t>
        </is>
      </c>
      <c r="D26" s="11" t="n">
        <v>1200</v>
      </c>
    </row>
    <row r="27" ht="19" customHeight="1">
      <c r="A27" s="8" t="n">
        <v>23</v>
      </c>
      <c r="B27" s="8" t="inlineStr">
        <is>
          <t>양식/파스타</t>
        </is>
      </c>
      <c r="C27" s="14" t="inlineStr">
        <is>
          <t>토마토파스타</t>
        </is>
      </c>
      <c r="D27" s="9" t="n">
        <v>600</v>
      </c>
    </row>
    <row r="28" ht="19" customHeight="1">
      <c r="A28" s="10" t="n">
        <v>24</v>
      </c>
      <c r="B28" s="10" t="inlineStr">
        <is>
          <t>양식/파스타</t>
        </is>
      </c>
      <c r="C28" s="15" t="inlineStr">
        <is>
          <t>크림파스타</t>
        </is>
      </c>
      <c r="D28" s="11" t="n">
        <v>750</v>
      </c>
    </row>
    <row r="29" ht="19" customHeight="1">
      <c r="A29" s="8" t="n">
        <v>25</v>
      </c>
      <c r="B29" s="8" t="inlineStr">
        <is>
          <t>양식/파스타</t>
        </is>
      </c>
      <c r="C29" s="14" t="inlineStr">
        <is>
          <t>로제파스타</t>
        </is>
      </c>
      <c r="D29" s="9" t="n">
        <v>700</v>
      </c>
    </row>
    <row r="30" ht="19" customHeight="1">
      <c r="A30" s="10" t="n">
        <v>26</v>
      </c>
      <c r="B30" s="10" t="inlineStr">
        <is>
          <t>양식/파스타</t>
        </is>
      </c>
      <c r="C30" s="15" t="inlineStr">
        <is>
          <t>오일파스타</t>
        </is>
      </c>
      <c r="D30" s="11" t="n">
        <v>550</v>
      </c>
    </row>
    <row r="31" ht="19" customHeight="1">
      <c r="A31" s="8" t="n">
        <v>27</v>
      </c>
      <c r="B31" s="8" t="inlineStr">
        <is>
          <t>양식/파스타</t>
        </is>
      </c>
      <c r="C31" s="14" t="inlineStr">
        <is>
          <t>알리오올리오</t>
        </is>
      </c>
      <c r="D31" s="9" t="n">
        <v>500</v>
      </c>
    </row>
    <row r="32" ht="19" customHeight="1">
      <c r="A32" s="10" t="n">
        <v>28</v>
      </c>
      <c r="B32" s="10" t="inlineStr">
        <is>
          <t>양식/파스타</t>
        </is>
      </c>
      <c r="C32" s="15" t="inlineStr">
        <is>
          <t>봉골레파스타</t>
        </is>
      </c>
      <c r="D32" s="11" t="n">
        <v>550</v>
      </c>
    </row>
    <row r="33" ht="19" customHeight="1">
      <c r="A33" s="8" t="n">
        <v>29</v>
      </c>
      <c r="B33" s="8" t="inlineStr">
        <is>
          <t>양식/파스타</t>
        </is>
      </c>
      <c r="C33" s="14" t="inlineStr">
        <is>
          <t>까르보나라</t>
        </is>
      </c>
      <c r="D33" s="9" t="n">
        <v>800</v>
      </c>
    </row>
    <row r="34" ht="19" customHeight="1">
      <c r="A34" s="10" t="n">
        <v>30</v>
      </c>
      <c r="B34" s="10" t="inlineStr">
        <is>
          <t>양식/파스타</t>
        </is>
      </c>
      <c r="C34" s="15" t="inlineStr">
        <is>
          <t>안심스테이크</t>
        </is>
      </c>
      <c r="D34" s="11" t="n">
        <v>600</v>
      </c>
    </row>
    <row r="35" ht="19" customHeight="1">
      <c r="A35" s="8" t="n">
        <v>31</v>
      </c>
      <c r="B35" s="8" t="inlineStr">
        <is>
          <t>양식/파스타</t>
        </is>
      </c>
      <c r="C35" s="14" t="inlineStr">
        <is>
          <t>등심스테이크</t>
        </is>
      </c>
      <c r="D35" s="9" t="n">
        <v>700</v>
      </c>
    </row>
    <row r="36" ht="19" customHeight="1">
      <c r="A36" s="10" t="n">
        <v>32</v>
      </c>
      <c r="B36" s="10" t="inlineStr">
        <is>
          <t>양식/파스타</t>
        </is>
      </c>
      <c r="C36" s="15" t="inlineStr">
        <is>
          <t>찹스테이크</t>
        </is>
      </c>
      <c r="D36" s="11" t="n">
        <v>650</v>
      </c>
    </row>
    <row r="37" ht="19" customHeight="1">
      <c r="A37" s="8" t="n">
        <v>33</v>
      </c>
      <c r="B37" s="8" t="inlineStr">
        <is>
          <t>양식/파스타</t>
        </is>
      </c>
      <c r="C37" s="14" t="inlineStr">
        <is>
          <t>티본스테이크</t>
        </is>
      </c>
      <c r="D37" s="9" t="n">
        <v>800</v>
      </c>
    </row>
    <row r="38" ht="19" customHeight="1">
      <c r="A38" s="10" t="n">
        <v>34</v>
      </c>
      <c r="B38" s="10" t="inlineStr">
        <is>
          <t>초밥/일식</t>
        </is>
      </c>
      <c r="C38" s="15" t="inlineStr">
        <is>
          <t>연어초밥</t>
        </is>
      </c>
      <c r="D38" s="11" t="n">
        <v>550</v>
      </c>
    </row>
    <row r="39" ht="19" customHeight="1">
      <c r="A39" s="8" t="n">
        <v>35</v>
      </c>
      <c r="B39" s="8" t="inlineStr">
        <is>
          <t>초밥/일식</t>
        </is>
      </c>
      <c r="C39" s="14" t="inlineStr">
        <is>
          <t>광어초밥</t>
        </is>
      </c>
      <c r="D39" s="9" t="n">
        <v>500</v>
      </c>
    </row>
    <row r="40" ht="19" customHeight="1">
      <c r="A40" s="10" t="n">
        <v>36</v>
      </c>
      <c r="B40" s="10" t="inlineStr">
        <is>
          <t>초밥/일식</t>
        </is>
      </c>
      <c r="C40" s="15" t="inlineStr">
        <is>
          <t>새우초밥</t>
        </is>
      </c>
      <c r="D40" s="11" t="n">
        <v>480</v>
      </c>
    </row>
    <row r="41" ht="19" customHeight="1">
      <c r="A41" s="8" t="n">
        <v>37</v>
      </c>
      <c r="B41" s="8" t="inlineStr">
        <is>
          <t>초밥/일식</t>
        </is>
      </c>
      <c r="C41" s="14" t="inlineStr">
        <is>
          <t>계란초밥</t>
        </is>
      </c>
      <c r="D41" s="9" t="n">
        <v>450</v>
      </c>
    </row>
    <row r="42" ht="19" customHeight="1">
      <c r="A42" s="10" t="n">
        <v>38</v>
      </c>
      <c r="B42" s="10" t="inlineStr">
        <is>
          <t>초밥/일식</t>
        </is>
      </c>
      <c r="C42" s="15" t="inlineStr">
        <is>
          <t>소고기초밥</t>
        </is>
      </c>
      <c r="D42" s="11" t="n">
        <v>600</v>
      </c>
    </row>
    <row r="43" ht="19" customHeight="1">
      <c r="A43" s="8" t="n">
        <v>39</v>
      </c>
      <c r="B43" s="8" t="inlineStr">
        <is>
          <t>한식/식사</t>
        </is>
      </c>
      <c r="C43" s="14" t="inlineStr">
        <is>
          <t>차돌된장찌개</t>
        </is>
      </c>
      <c r="D43" s="9" t="n">
        <v>450</v>
      </c>
    </row>
    <row r="44" ht="19" customHeight="1">
      <c r="A44" s="10" t="n">
        <v>40</v>
      </c>
      <c r="B44" s="10" t="inlineStr">
        <is>
          <t>한식/식사</t>
        </is>
      </c>
      <c r="C44" s="15" t="inlineStr">
        <is>
          <t>해물된장찌개</t>
        </is>
      </c>
      <c r="D44" s="11" t="n">
        <v>350</v>
      </c>
    </row>
    <row r="45" ht="19" customHeight="1">
      <c r="A45" s="8" t="n">
        <v>41</v>
      </c>
      <c r="B45" s="8" t="inlineStr">
        <is>
          <t>한식/식사</t>
        </is>
      </c>
      <c r="C45" s="14" t="inlineStr">
        <is>
          <t>우렁된장찌개</t>
        </is>
      </c>
      <c r="D45" s="9" t="n">
        <v>380</v>
      </c>
    </row>
    <row r="46" ht="19" customHeight="1">
      <c r="A46" s="10" t="n">
        <v>42</v>
      </c>
      <c r="B46" s="10" t="inlineStr">
        <is>
          <t>한식/식사</t>
        </is>
      </c>
      <c r="C46" s="15" t="inlineStr">
        <is>
          <t>왕갈비탕</t>
        </is>
      </c>
      <c r="D46" s="11" t="n">
        <v>650</v>
      </c>
    </row>
    <row r="47" ht="19" customHeight="1">
      <c r="A47" s="8" t="n">
        <v>43</v>
      </c>
      <c r="B47" s="8" t="inlineStr">
        <is>
          <t>한식/식사</t>
        </is>
      </c>
      <c r="C47" s="14" t="inlineStr">
        <is>
          <t>전복갈비탕</t>
        </is>
      </c>
      <c r="D47" s="9" t="n">
        <v>700</v>
      </c>
    </row>
    <row r="48" ht="19" customHeight="1">
      <c r="A48" s="10" t="n">
        <v>44</v>
      </c>
      <c r="B48" s="10" t="inlineStr">
        <is>
          <t>한식/식사</t>
        </is>
      </c>
      <c r="C48" s="15" t="inlineStr">
        <is>
          <t>낙지갈비탕</t>
        </is>
      </c>
      <c r="D48" s="11" t="n">
        <v>680</v>
      </c>
    </row>
    <row r="49" ht="19" customHeight="1">
      <c r="A49" s="8" t="n">
        <v>45</v>
      </c>
      <c r="B49" s="8" t="inlineStr">
        <is>
          <t>한식/식사</t>
        </is>
      </c>
      <c r="C49" s="14" t="inlineStr">
        <is>
          <t>뚝배기불고기</t>
        </is>
      </c>
      <c r="D49" s="9" t="n">
        <v>600</v>
      </c>
    </row>
    <row r="50" ht="19" customHeight="1">
      <c r="A50" s="10" t="n">
        <v>46</v>
      </c>
      <c r="B50" s="10" t="inlineStr">
        <is>
          <t>한식/식사</t>
        </is>
      </c>
      <c r="C50" s="15" t="inlineStr">
        <is>
          <t>돼지불고기</t>
        </is>
      </c>
      <c r="D50" s="11" t="n">
        <v>550</v>
      </c>
    </row>
    <row r="51" ht="19" customHeight="1">
      <c r="A51" s="8" t="n">
        <v>47</v>
      </c>
      <c r="B51" s="8" t="inlineStr">
        <is>
          <t>한식/식사</t>
        </is>
      </c>
      <c r="C51" s="14" t="inlineStr">
        <is>
          <t>고추장불고기</t>
        </is>
      </c>
      <c r="D51" s="9" t="n">
        <v>580</v>
      </c>
    </row>
    <row r="52" ht="19" customHeight="1">
      <c r="A52" s="10" t="n">
        <v>48</v>
      </c>
      <c r="B52" s="10" t="inlineStr">
        <is>
          <t>분식류</t>
        </is>
      </c>
      <c r="C52" s="15" t="inlineStr">
        <is>
          <t>치즈떡볶이</t>
        </is>
      </c>
      <c r="D52" s="11" t="n">
        <v>650</v>
      </c>
    </row>
    <row r="53" ht="19" customHeight="1">
      <c r="A53" s="8" t="n">
        <v>49</v>
      </c>
      <c r="B53" s="8" t="inlineStr">
        <is>
          <t>분식류</t>
        </is>
      </c>
      <c r="C53" s="14" t="inlineStr">
        <is>
          <t>로제떡볶이</t>
        </is>
      </c>
      <c r="D53" s="9" t="n">
        <v>800</v>
      </c>
    </row>
    <row r="54" ht="19" customHeight="1">
      <c r="A54" s="10" t="n">
        <v>50</v>
      </c>
      <c r="B54" s="10" t="inlineStr">
        <is>
          <t>분식류</t>
        </is>
      </c>
      <c r="C54" s="15" t="inlineStr">
        <is>
          <t>국물떡볶이</t>
        </is>
      </c>
      <c r="D54" s="11" t="n">
        <v>500</v>
      </c>
    </row>
    <row r="55" ht="19" customHeight="1">
      <c r="A55" s="8" t="n">
        <v>51</v>
      </c>
      <c r="B55" s="8" t="inlineStr">
        <is>
          <t>분식류</t>
        </is>
      </c>
      <c r="C55" s="14" t="inlineStr">
        <is>
          <t>라볶이</t>
        </is>
      </c>
      <c r="D55" s="9" t="n">
        <v>700</v>
      </c>
    </row>
    <row r="56" ht="19" customHeight="1">
      <c r="A56" s="10" t="n">
        <v>52</v>
      </c>
      <c r="B56" s="10" t="inlineStr">
        <is>
          <t>분식류</t>
        </is>
      </c>
      <c r="C56" s="15" t="inlineStr">
        <is>
          <t>마라떡볶이</t>
        </is>
      </c>
      <c r="D56" s="11" t="n">
        <v>850</v>
      </c>
    </row>
    <row r="57" ht="19" customHeight="1">
      <c r="A57" s="8" t="n">
        <v>53</v>
      </c>
      <c r="B57" s="8" t="inlineStr">
        <is>
          <t>중식류</t>
        </is>
      </c>
      <c r="C57" s="14" t="inlineStr">
        <is>
          <t>간짜장</t>
        </is>
      </c>
      <c r="D57" s="9" t="n">
        <v>700</v>
      </c>
    </row>
    <row r="58" ht="19" customHeight="1">
      <c r="A58" s="10" t="n">
        <v>54</v>
      </c>
      <c r="B58" s="10" t="inlineStr">
        <is>
          <t>중식류</t>
        </is>
      </c>
      <c r="C58" s="15" t="inlineStr">
        <is>
          <t>삼선짜장</t>
        </is>
      </c>
      <c r="D58" s="11" t="n">
        <v>750</v>
      </c>
    </row>
    <row r="59" ht="19" customHeight="1">
      <c r="A59" s="8" t="n">
        <v>55</v>
      </c>
      <c r="B59" s="8" t="inlineStr">
        <is>
          <t>중식류</t>
        </is>
      </c>
      <c r="C59" s="14" t="inlineStr">
        <is>
          <t>쟁반짜장</t>
        </is>
      </c>
      <c r="D59" s="9" t="n">
        <v>800</v>
      </c>
    </row>
    <row r="60" ht="19" customHeight="1">
      <c r="A60" s="10" t="n">
        <v>56</v>
      </c>
      <c r="B60" s="10" t="inlineStr">
        <is>
          <t>중식류</t>
        </is>
      </c>
      <c r="C60" s="15" t="inlineStr">
        <is>
          <t>해물짬뽕</t>
        </is>
      </c>
      <c r="D60" s="11" t="n">
        <v>700</v>
      </c>
    </row>
    <row r="61" ht="19" customHeight="1">
      <c r="A61" s="8" t="n">
        <v>57</v>
      </c>
      <c r="B61" s="8" t="inlineStr">
        <is>
          <t>중식류</t>
        </is>
      </c>
      <c r="C61" s="14" t="inlineStr">
        <is>
          <t>차돌짬뽕</t>
        </is>
      </c>
      <c r="D61" s="9" t="n">
        <v>850</v>
      </c>
    </row>
    <row r="62" ht="19" customHeight="1">
      <c r="A62" s="10" t="n">
        <v>58</v>
      </c>
      <c r="B62" s="10" t="inlineStr">
        <is>
          <t>중식류</t>
        </is>
      </c>
      <c r="C62" s="15" t="inlineStr">
        <is>
          <t>삼선짬뽕</t>
        </is>
      </c>
      <c r="D62" s="11" t="n">
        <v>750</v>
      </c>
    </row>
    <row r="63" ht="19" customHeight="1">
      <c r="A63" s="8" t="n">
        <v>59</v>
      </c>
      <c r="B63" s="8" t="inlineStr">
        <is>
          <t>한식/식사</t>
        </is>
      </c>
      <c r="C63" s="14" t="inlineStr">
        <is>
          <t>수육국밥</t>
        </is>
      </c>
      <c r="D63" s="9" t="n">
        <v>550</v>
      </c>
    </row>
    <row r="64" ht="19" customHeight="1">
      <c r="A64" s="10" t="n">
        <v>60</v>
      </c>
      <c r="B64" s="10" t="inlineStr">
        <is>
          <t>한식/식사</t>
        </is>
      </c>
      <c r="C64" s="15" t="inlineStr">
        <is>
          <t>순대국밥</t>
        </is>
      </c>
      <c r="D64" s="11" t="n">
        <v>600</v>
      </c>
    </row>
    <row r="65" ht="19" customHeight="1">
      <c r="A65" s="8" t="n">
        <v>61</v>
      </c>
      <c r="B65" s="8" t="inlineStr">
        <is>
          <t>한식/식사</t>
        </is>
      </c>
      <c r="C65" s="14" t="inlineStr">
        <is>
          <t>돼지국밥</t>
        </is>
      </c>
      <c r="D65" s="9" t="n">
        <v>580</v>
      </c>
    </row>
    <row r="66" ht="19" customHeight="1">
      <c r="A66" s="10" t="n">
        <v>62</v>
      </c>
      <c r="B66" s="10" t="inlineStr">
        <is>
          <t>한식/식사</t>
        </is>
      </c>
      <c r="C66" s="15" t="inlineStr">
        <is>
          <t>소머리국밥</t>
        </is>
      </c>
      <c r="D66" s="11" t="n">
        <v>550</v>
      </c>
    </row>
    <row r="67" ht="19" customHeight="1">
      <c r="A67" s="8" t="n">
        <v>63</v>
      </c>
      <c r="B67" s="8" t="inlineStr">
        <is>
          <t>아시안/면류</t>
        </is>
      </c>
      <c r="C67" s="14" t="inlineStr">
        <is>
          <t>양지쌀국수</t>
        </is>
      </c>
      <c r="D67" s="9" t="n">
        <v>480</v>
      </c>
    </row>
    <row r="68" ht="19" customHeight="1">
      <c r="A68" s="10" t="n">
        <v>64</v>
      </c>
      <c r="B68" s="10" t="inlineStr">
        <is>
          <t>아시안/면류</t>
        </is>
      </c>
      <c r="C68" s="15" t="inlineStr">
        <is>
          <t>차돌쌀국수</t>
        </is>
      </c>
      <c r="D68" s="11" t="n">
        <v>520</v>
      </c>
    </row>
    <row r="69" ht="19" customHeight="1">
      <c r="A69" s="8" t="n">
        <v>65</v>
      </c>
      <c r="B69" s="8" t="inlineStr">
        <is>
          <t>아시안/면류</t>
        </is>
      </c>
      <c r="C69" s="14" t="inlineStr">
        <is>
          <t>해물쌀국수</t>
        </is>
      </c>
      <c r="D69" s="9" t="n">
        <v>450</v>
      </c>
    </row>
    <row r="70" ht="19" customHeight="1">
      <c r="A70" s="10" t="n">
        <v>66</v>
      </c>
      <c r="B70" s="10" t="inlineStr">
        <is>
          <t>샐러드/샌드위치</t>
        </is>
      </c>
      <c r="C70" s="15" t="inlineStr">
        <is>
          <t>에그샌드위치</t>
        </is>
      </c>
      <c r="D70" s="11" t="n">
        <v>400</v>
      </c>
    </row>
    <row r="71" ht="19" customHeight="1">
      <c r="A71" s="8" t="n">
        <v>67</v>
      </c>
      <c r="B71" s="8" t="inlineStr">
        <is>
          <t>샐러드/샌드위치</t>
        </is>
      </c>
      <c r="C71" s="14" t="inlineStr">
        <is>
          <t>참치샌드위치</t>
        </is>
      </c>
      <c r="D71" s="9" t="n">
        <v>450</v>
      </c>
    </row>
    <row r="72" ht="19" customHeight="1">
      <c r="A72" s="10" t="n">
        <v>68</v>
      </c>
      <c r="B72" s="10" t="inlineStr">
        <is>
          <t>샐러드/샌드위치</t>
        </is>
      </c>
      <c r="C72" s="15" t="inlineStr">
        <is>
          <t>클럽샌드위치</t>
        </is>
      </c>
      <c r="D72" s="11" t="n">
        <v>500</v>
      </c>
    </row>
    <row r="73" ht="19" customHeight="1">
      <c r="A73" s="8" t="n">
        <v>69</v>
      </c>
      <c r="B73" s="8" t="inlineStr">
        <is>
          <t>샐러드/샌드위치</t>
        </is>
      </c>
      <c r="C73" s="14" t="inlineStr">
        <is>
          <t>리코타치즈샐러드</t>
        </is>
      </c>
      <c r="D73" s="9" t="n">
        <v>300</v>
      </c>
    </row>
    <row r="74" ht="19" customHeight="1">
      <c r="A74" s="10" t="n">
        <v>70</v>
      </c>
      <c r="B74" s="10" t="inlineStr">
        <is>
          <t>샐러드/샌드위치</t>
        </is>
      </c>
      <c r="C74" s="15" t="inlineStr">
        <is>
          <t>연어샐러드</t>
        </is>
      </c>
      <c r="D74" s="11" t="n">
        <v>350</v>
      </c>
    </row>
    <row r="75" ht="19" customHeight="1">
      <c r="A75" s="8" t="n">
        <v>71</v>
      </c>
      <c r="B75" s="8" t="inlineStr">
        <is>
          <t>샐러드/샌드위치</t>
        </is>
      </c>
      <c r="C75" s="14" t="inlineStr">
        <is>
          <t>단호박샐러드</t>
        </is>
      </c>
      <c r="D75" s="9" t="n">
        <v>320</v>
      </c>
    </row>
    <row r="76" ht="19" customHeight="1">
      <c r="A76" s="10" t="n">
        <v>72</v>
      </c>
      <c r="B76" s="10" t="inlineStr">
        <is>
          <t>분식류</t>
        </is>
      </c>
      <c r="C76" s="15" t="inlineStr">
        <is>
          <t>치즈라면</t>
        </is>
      </c>
      <c r="D76" s="11" t="n">
        <v>550</v>
      </c>
    </row>
    <row r="77" ht="19" customHeight="1">
      <c r="A77" s="8" t="n">
        <v>73</v>
      </c>
      <c r="B77" s="8" t="inlineStr">
        <is>
          <t>분식류</t>
        </is>
      </c>
      <c r="C77" s="14" t="inlineStr">
        <is>
          <t>떡라면</t>
        </is>
      </c>
      <c r="D77" s="9" t="n">
        <v>580</v>
      </c>
    </row>
    <row r="78" ht="19" customHeight="1">
      <c r="A78" s="10" t="n">
        <v>74</v>
      </c>
      <c r="B78" s="10" t="inlineStr">
        <is>
          <t>분식류</t>
        </is>
      </c>
      <c r="C78" s="15" t="inlineStr">
        <is>
          <t>해물라면</t>
        </is>
      </c>
      <c r="D78" s="11" t="n">
        <v>520</v>
      </c>
    </row>
    <row r="79" ht="19" customHeight="1">
      <c r="A79" s="8" t="n">
        <v>75</v>
      </c>
      <c r="B79" s="8" t="inlineStr">
        <is>
          <t>일식/튀김</t>
        </is>
      </c>
      <c r="C79" s="14" t="inlineStr">
        <is>
          <t>돈까스도시락</t>
        </is>
      </c>
      <c r="D79" s="9" t="n">
        <v>750</v>
      </c>
    </row>
    <row r="80" ht="19" customHeight="1">
      <c r="A80" s="10" t="n">
        <v>76</v>
      </c>
      <c r="B80" s="10" t="inlineStr">
        <is>
          <t>한식/식사</t>
        </is>
      </c>
      <c r="C80" s="15" t="inlineStr">
        <is>
          <t>불고기도시락</t>
        </is>
      </c>
      <c r="D80" s="11" t="n">
        <v>700</v>
      </c>
    </row>
    <row r="81" ht="19" customHeight="1">
      <c r="A81" s="8" t="n">
        <v>77</v>
      </c>
      <c r="B81" s="8" t="inlineStr">
        <is>
          <t>치킨류</t>
        </is>
      </c>
      <c r="C81" s="14" t="inlineStr">
        <is>
          <t>치킨마요도시락</t>
        </is>
      </c>
      <c r="D81" s="9" t="n">
        <v>650</v>
      </c>
    </row>
    <row r="82" ht="19" customHeight="1">
      <c r="A82" s="10" t="n">
        <v>78</v>
      </c>
      <c r="B82" s="10" t="inlineStr">
        <is>
          <t>아시안/면류</t>
        </is>
      </c>
      <c r="C82" s="15" t="inlineStr">
        <is>
          <t>바지락칼국수</t>
        </is>
      </c>
      <c r="D82" s="11" t="n">
        <v>500</v>
      </c>
    </row>
    <row r="83" ht="19" customHeight="1">
      <c r="A83" s="8" t="n">
        <v>79</v>
      </c>
      <c r="B83" s="8" t="inlineStr">
        <is>
          <t>아시안/면류</t>
        </is>
      </c>
      <c r="C83" s="14" t="inlineStr">
        <is>
          <t>해물칼국수</t>
        </is>
      </c>
      <c r="D83" s="9" t="n">
        <v>550</v>
      </c>
    </row>
    <row r="84" ht="19" customHeight="1">
      <c r="A84" s="10" t="n">
        <v>80</v>
      </c>
      <c r="B84" s="10" t="inlineStr">
        <is>
          <t>아시안/면류</t>
        </is>
      </c>
      <c r="C84" s="15" t="inlineStr">
        <is>
          <t>닭칼국수</t>
        </is>
      </c>
      <c r="D84" s="11" t="n">
        <v>600</v>
      </c>
    </row>
    <row r="85" ht="19" customHeight="1">
      <c r="A85" s="8" t="n">
        <v>81</v>
      </c>
      <c r="B85" s="8" t="inlineStr">
        <is>
          <t>일식/튀김</t>
        </is>
      </c>
      <c r="C85" s="14" t="inlineStr">
        <is>
          <t>새우튀김우동</t>
        </is>
      </c>
      <c r="D85" s="9" t="n">
        <v>550</v>
      </c>
    </row>
    <row r="86" ht="19" customHeight="1">
      <c r="A86" s="10" t="n">
        <v>82</v>
      </c>
      <c r="B86" s="10" t="inlineStr">
        <is>
          <t>일식/튀김</t>
        </is>
      </c>
      <c r="C86" s="15" t="inlineStr">
        <is>
          <t>김치우동</t>
        </is>
      </c>
      <c r="D86" s="11" t="n">
        <v>450</v>
      </c>
    </row>
    <row r="87" ht="19" customHeight="1">
      <c r="A87" s="8" t="n">
        <v>83</v>
      </c>
      <c r="B87" s="8" t="inlineStr">
        <is>
          <t>일식/튀김</t>
        </is>
      </c>
      <c r="C87" s="14" t="inlineStr">
        <is>
          <t>어묵우동</t>
        </is>
      </c>
      <c r="D87" s="9" t="n">
        <v>500</v>
      </c>
    </row>
    <row r="88" ht="19" customHeight="1">
      <c r="A88" s="10" t="n">
        <v>84</v>
      </c>
      <c r="B88" s="10" t="inlineStr">
        <is>
          <t>일식/튀김</t>
        </is>
      </c>
      <c r="C88" s="15" t="inlineStr">
        <is>
          <t>등심돈까스</t>
        </is>
      </c>
      <c r="D88" s="11" t="n">
        <v>700</v>
      </c>
    </row>
    <row r="89" ht="19" customHeight="1">
      <c r="A89" s="8" t="n">
        <v>85</v>
      </c>
      <c r="B89" s="8" t="inlineStr">
        <is>
          <t>일식/튀김</t>
        </is>
      </c>
      <c r="C89" s="14" t="inlineStr">
        <is>
          <t>안심돈까스</t>
        </is>
      </c>
      <c r="D89" s="9" t="n">
        <v>650</v>
      </c>
    </row>
    <row r="90" ht="19" customHeight="1">
      <c r="A90" s="10" t="n">
        <v>86</v>
      </c>
      <c r="B90" s="10" t="inlineStr">
        <is>
          <t>일식/튀김</t>
        </is>
      </c>
      <c r="C90" s="15" t="inlineStr">
        <is>
          <t>치즈돈까스</t>
        </is>
      </c>
      <c r="D90" s="11" t="n">
        <v>800</v>
      </c>
    </row>
    <row r="91" ht="19" customHeight="1">
      <c r="A91" s="8" t="n">
        <v>87</v>
      </c>
      <c r="B91" s="8" t="inlineStr">
        <is>
          <t>일식/튀김</t>
        </is>
      </c>
      <c r="C91" s="14" t="inlineStr">
        <is>
          <t>고구마치즈돈까스</t>
        </is>
      </c>
      <c r="D91" s="9" t="n">
        <v>850</v>
      </c>
    </row>
    <row r="92" ht="22" customHeight="1">
      <c r="A92" s="12" t="inlineStr">
        <is>
          <t>평균</t>
        </is>
      </c>
      <c r="B92" s="16" t="n"/>
      <c r="C92" s="16" t="n"/>
      <c r="D92" s="13">
        <f>AVERAGE(D5:D91)</f>
        <v/>
      </c>
    </row>
  </sheetData>
  <autoFilter ref="A4:D91"/>
  <mergeCells count="1">
    <mergeCell ref="A92:C92"/>
  </mergeCells>
  <conditionalFormatting sqref="D5:D91">
    <cfRule type="cellIs" priority="1" operator="greaterThanOrEqual" dxfId="0" stopIfTrue="1">
      <formula>1000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2026-06-11T03:37:22Z</dcterms:created>
  <dcterms:modified xmlns:dcterms="http://purl.org/dc/terms/" xmlns:xsi="http://www.w3.org/2001/XMLSchema-instance" xsi:type="dcterms:W3CDTF">2026-06-11T03:37:22Z</dcterms:modified>
</cp:coreProperties>
</file>